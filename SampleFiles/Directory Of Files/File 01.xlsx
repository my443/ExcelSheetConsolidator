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" sheetId="1" state="visible" r:id="rId3"/>
    <sheet name="Staffing" sheetId="2" state="visible" r:id="rId4"/>
  </sheets>
  <definedNames>
    <definedName function="false" hidden="false" name="B" vbProcedure="false">Budget!$A$11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<sst xmlns="http://schemas.openxmlformats.org/spreadsheetml/2006/main" count="49" uniqueCount="42">
  <si>
    <t xml:space="preserve">My Organization Name</t>
  </si>
  <si>
    <t xml:space="preserve">Department Number</t>
  </si>
  <si>
    <t xml:space="preserve">Department Name</t>
  </si>
  <si>
    <t xml:space="preserve">Salaries</t>
  </si>
  <si>
    <t xml:space="preserve">Travel Costs</t>
  </si>
  <si>
    <t xml:space="preserve">Supplies</t>
  </si>
  <si>
    <t xml:space="preserve">Fuel</t>
  </si>
  <si>
    <t xml:space="preserve">Office Supplies</t>
  </si>
  <si>
    <t xml:space="preserve">Total</t>
  </si>
  <si>
    <t xml:space="preserve">Staffing Sheet</t>
  </si>
  <si>
    <t xml:space="preserve">Employee Name</t>
  </si>
  <si>
    <t xml:space="preserve">Employee Position</t>
  </si>
  <si>
    <t xml:space="preserve">Rate/ Hr</t>
  </si>
  <si>
    <t xml:space="preserve">Yearly Hours</t>
  </si>
  <si>
    <t xml:space="preserve">Benefits Factor</t>
  </si>
  <si>
    <t xml:space="preserve">Benefits Cost</t>
  </si>
  <si>
    <t xml:space="preserve">Annual Cost</t>
  </si>
  <si>
    <t xml:space="preserve">Elena</t>
  </si>
  <si>
    <t xml:space="preserve">Vance</t>
  </si>
  <si>
    <t xml:space="preserve">Production Technician</t>
  </si>
  <si>
    <t xml:space="preserve">Marcus</t>
  </si>
  <si>
    <t xml:space="preserve">Thorne</t>
  </si>
  <si>
    <t xml:space="preserve">Logistics &amp; Supply Chain Coordinator</t>
  </si>
  <si>
    <t xml:space="preserve">Saanvi</t>
  </si>
  <si>
    <t xml:space="preserve">Reddy</t>
  </si>
  <si>
    <t xml:space="preserve">Industrial Systems Engineer</t>
  </si>
  <si>
    <t xml:space="preserve">Julian</t>
  </si>
  <si>
    <t xml:space="preserve">Beck</t>
  </si>
  <si>
    <t xml:space="preserve">Quality Assurance (QA) Inspector</t>
  </si>
  <si>
    <t xml:space="preserve">Amara</t>
  </si>
  <si>
    <t xml:space="preserve">Okafor</t>
  </si>
  <si>
    <t xml:space="preserve">Dominic</t>
  </si>
  <si>
    <t xml:space="preserve">Chen</t>
  </si>
  <si>
    <t xml:space="preserve">Isabel</t>
  </si>
  <si>
    <t xml:space="preserve">Duarte</t>
  </si>
  <si>
    <t xml:space="preserve">Silas</t>
  </si>
  <si>
    <t xml:space="preserve">Varma</t>
  </si>
  <si>
    <t xml:space="preserve">Naomi</t>
  </si>
  <si>
    <t xml:space="preserve">Sterling</t>
  </si>
  <si>
    <t xml:space="preserve">Kaito</t>
  </si>
  <si>
    <t xml:space="preserve">Tanaka</t>
  </si>
  <si>
    <t xml:space="preserve">Total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</si>
</sst>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$-1009]#,##0.00;[RED]\-[$$-1009]#,##0.00"/>
    <numFmt numFmtId="166" formatCode="#,##0.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0.35"/>
  </cols>
  <sheetData>
    <row r="1" customFormat="false" ht="12.8" hidden="false" customHeight="false" outlineLevel="0" collapsed="false">
      <c r="A1" s="1" t="s">
        <v>0</v>
      </c>
      <c r="E1" s="1"/>
    </row>
    <row r="2" customFormat="false" ht="12.8" hidden="false" customHeight="true" outlineLevel="0" collapsed="false">
      <c r="A2" s="1" t="s">
        <v>1</v>
      </c>
      <c r="B2" s="1" t="n">
        <v>1234</v>
      </c>
    </row>
    <row r="3" customFormat="false" ht="12.8" hidden="false" customHeight="true" outlineLevel="0" collapsed="false">
      <c r="A3" s="1" t="s">
        <v>2</v>
      </c>
      <c r="B3" s="0" t="str">
        <f aca="false">"Department "&amp;B2</f>
        <v>Department 1234</v>
      </c>
    </row>
    <row r="5" customFormat="false" ht="12.8" hidden="false" customHeight="true" outlineLevel="0" collapsed="false">
      <c r="A5" s="1" t="s">
        <v>3</v>
      </c>
      <c r="B5" s="1" t="n">
        <v>3000</v>
      </c>
      <c r="C5" s="2" t="n">
        <f aca="false">Staffing!H16</f>
        <v>788182.25</v>
      </c>
    </row>
    <row r="6" customFormat="false" ht="12.8" hidden="false" customHeight="true" outlineLevel="0" collapsed="false">
      <c r="A6" s="1" t="s">
        <v>4</v>
      </c>
      <c r="B6" s="1" t="n">
        <v>5571</v>
      </c>
      <c r="C6" s="2" t="n">
        <v>3000</v>
      </c>
    </row>
    <row r="7" customFormat="false" ht="12.8" hidden="false" customHeight="true" outlineLevel="0" collapsed="false">
      <c r="A7" s="1" t="s">
        <v>5</v>
      </c>
      <c r="B7" s="1" t="n">
        <v>5572</v>
      </c>
      <c r="C7" s="2" t="n">
        <v>7000</v>
      </c>
    </row>
    <row r="8" customFormat="false" ht="12.8" hidden="false" customHeight="true" outlineLevel="0" collapsed="false">
      <c r="A8" s="1" t="s">
        <v>6</v>
      </c>
      <c r="B8" s="1" t="n">
        <v>5573</v>
      </c>
      <c r="C8" s="2" t="n">
        <v>15000</v>
      </c>
    </row>
    <row r="9" customFormat="false" ht="12.8" hidden="false" customHeight="true" outlineLevel="0" collapsed="false">
      <c r="A9" s="1" t="s">
        <v>7</v>
      </c>
      <c r="B9" s="1" t="n">
        <v>5574</v>
      </c>
      <c r="C9" s="2" t="n">
        <v>1500</v>
      </c>
    </row>
    <row r="10" customFormat="false" ht="12.8" hidden="false" customHeight="false" outlineLevel="0" collapsed="false">
      <c r="A10" s="1" t="s">
        <v>8</v>
      </c>
      <c r="C10" s="3" t="n">
        <f aca="false">SUM(C5:C9)</f>
        <v>814682.25</v>
      </c>
    </row>
    <row r="16" customFormat="false" ht="12.8" hidden="false" customHeight="false" outlineLevel="0" collapsed="false">
      <c r="F16" s="1"/>
    </row>
    <row r="17" customFormat="false" ht="12.8" hidden="false" customHeight="false" outlineLevel="0" collapsed="false">
      <c r="B17" s="1"/>
    </row>
    <row r="32" customFormat="false" ht="12.8" hidden="false" customHeight="false" outlineLevel="0" collapsed="false">
      <c r="C3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1.56"/>
    <col collapsed="false" customWidth="true" hidden="false" outlineLevel="0" max="2" min="2" style="1" width="27.13"/>
    <col collapsed="false" customWidth="true" hidden="false" outlineLevel="0" max="3" min="3" style="1" width="38.67"/>
    <col collapsed="false" customWidth="false" hidden="false" outlineLevel="0" max="4" min="4" style="4" width="11.53"/>
    <col collapsed="false" customWidth="true" hidden="false" outlineLevel="0" max="5" min="5" style="1" width="12.01"/>
    <col collapsed="false" customWidth="true" hidden="false" outlineLevel="0" max="6" min="6" style="1" width="13.95"/>
    <col collapsed="false" customWidth="true" hidden="false" outlineLevel="0" max="7" min="7" style="1" width="14.33"/>
    <col collapsed="false" customWidth="true" hidden="false" outlineLevel="0" max="8" min="8" style="1" width="13.2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9</v>
      </c>
    </row>
    <row r="5" customFormat="false" ht="12.8" hidden="false" customHeight="false" outlineLevel="0" collapsed="false">
      <c r="A5" s="5" t="s">
        <v>10</v>
      </c>
      <c r="B5" s="5"/>
      <c r="C5" s="5" t="s">
        <v>11</v>
      </c>
      <c r="D5" s="6" t="s">
        <v>12</v>
      </c>
      <c r="E5" s="5" t="s">
        <v>13</v>
      </c>
      <c r="F5" s="5" t="s">
        <v>14</v>
      </c>
      <c r="G5" s="5" t="s">
        <v>15</v>
      </c>
      <c r="H5" s="5" t="s">
        <v>16</v>
      </c>
    </row>
    <row r="6" customFormat="false" ht="12.8" hidden="false" customHeight="false" outlineLevel="0" collapsed="false">
      <c r="A6" s="1" t="s">
        <v>17</v>
      </c>
      <c r="B6" s="1" t="s">
        <v>18</v>
      </c>
      <c r="C6" s="1" t="s">
        <v>19</v>
      </c>
      <c r="D6" s="4" t="n">
        <v>25.25</v>
      </c>
      <c r="E6" s="1" t="n">
        <v>1920</v>
      </c>
      <c r="F6" s="1" t="n">
        <v>0.2</v>
      </c>
      <c r="G6" s="4" t="n">
        <f aca="false">D6*E6*F6</f>
        <v>9696</v>
      </c>
      <c r="H6" s="4" t="n">
        <f aca="false">D6*E6+G6</f>
        <v>58176</v>
      </c>
    </row>
    <row r="7" customFormat="false" ht="12.8" hidden="false" customHeight="false" outlineLevel="0" collapsed="false">
      <c r="A7" s="1" t="s">
        <v>20</v>
      </c>
      <c r="B7" s="1" t="s">
        <v>21</v>
      </c>
      <c r="C7" s="1" t="s">
        <v>22</v>
      </c>
      <c r="D7" s="4" t="n">
        <v>40.25</v>
      </c>
      <c r="E7" s="1" t="n">
        <v>1920</v>
      </c>
      <c r="F7" s="1" t="n">
        <v>0.3</v>
      </c>
      <c r="G7" s="4" t="n">
        <f aca="false">D7*E7*F7</f>
        <v>23184</v>
      </c>
      <c r="H7" s="4" t="n">
        <f aca="false">D7*E7+G7</f>
        <v>100464</v>
      </c>
    </row>
    <row r="8" customFormat="false" ht="12.8" hidden="false" customHeight="false" outlineLevel="0" collapsed="false">
      <c r="A8" s="1" t="s">
        <v>23</v>
      </c>
      <c r="B8" s="1" t="s">
        <v>24</v>
      </c>
      <c r="C8" s="1" t="s">
        <v>25</v>
      </c>
      <c r="D8" s="4" t="n">
        <v>72.5</v>
      </c>
      <c r="E8" s="1" t="n">
        <v>1920</v>
      </c>
      <c r="F8" s="1" t="n">
        <v>0.3</v>
      </c>
      <c r="G8" s="4" t="n">
        <f aca="false">D8*E8*F8</f>
        <v>41760</v>
      </c>
      <c r="H8" s="4" t="n">
        <f aca="false">D8*E8+G8</f>
        <v>180960</v>
      </c>
    </row>
    <row r="9" customFormat="false" ht="12.8" hidden="false" customHeight="false" outlineLevel="0" collapsed="false">
      <c r="A9" s="1" t="s">
        <v>26</v>
      </c>
      <c r="B9" s="1" t="s">
        <v>27</v>
      </c>
      <c r="C9" s="1" t="s">
        <v>28</v>
      </c>
      <c r="D9" s="4" t="n">
        <v>45.5</v>
      </c>
      <c r="E9" s="1" t="n">
        <v>1920</v>
      </c>
      <c r="F9" s="1" t="n">
        <v>0.2</v>
      </c>
      <c r="G9" s="4" t="n">
        <f aca="false">D9*E9*F9</f>
        <v>17472</v>
      </c>
      <c r="H9" s="4" t="n">
        <f aca="false">D9*E9+G9</f>
        <v>104832</v>
      </c>
    </row>
    <row r="10" customFormat="false" ht="12.8" hidden="false" customHeight="false" outlineLevel="0" collapsed="false">
      <c r="A10" s="1" t="s">
        <v>29</v>
      </c>
      <c r="B10" s="1" t="s">
        <v>30</v>
      </c>
      <c r="C10" s="1" t="s">
        <v>19</v>
      </c>
      <c r="D10" s="4" t="n">
        <v>25.25</v>
      </c>
      <c r="E10" s="1" t="n">
        <v>1920</v>
      </c>
      <c r="F10" s="1" t="n">
        <v>0.2</v>
      </c>
      <c r="G10" s="4" t="n">
        <f aca="false">D10*E10*F10</f>
        <v>9696</v>
      </c>
      <c r="H10" s="4" t="n">
        <f aca="false">D10*E10+G10</f>
        <v>58176</v>
      </c>
    </row>
    <row r="11" customFormat="false" ht="12.8" hidden="false" customHeight="false" outlineLevel="0" collapsed="false">
      <c r="A11" s="1" t="s">
        <v>31</v>
      </c>
      <c r="B11" s="1" t="s">
        <v>32</v>
      </c>
      <c r="C11" s="1" t="s">
        <v>19</v>
      </c>
      <c r="D11" s="4" t="n">
        <v>28.5</v>
      </c>
      <c r="E11" s="1" t="n">
        <v>1650</v>
      </c>
      <c r="F11" s="1" t="n">
        <v>0.2</v>
      </c>
      <c r="G11" s="4" t="n">
        <f aca="false">D11*E11*F11</f>
        <v>9405</v>
      </c>
      <c r="H11" s="4" t="n">
        <f aca="false">D11*E11+G11</f>
        <v>56430</v>
      </c>
    </row>
    <row r="12" customFormat="false" ht="12.8" hidden="false" customHeight="false" outlineLevel="0" collapsed="false">
      <c r="A12" s="1" t="s">
        <v>33</v>
      </c>
      <c r="B12" s="1" t="s">
        <v>34</v>
      </c>
      <c r="C12" s="1" t="s">
        <v>19</v>
      </c>
      <c r="D12" s="4" t="n">
        <v>30.75</v>
      </c>
      <c r="E12" s="1" t="n">
        <v>1700</v>
      </c>
      <c r="F12" s="1" t="n">
        <v>0.2</v>
      </c>
      <c r="G12" s="4" t="n">
        <f aca="false">D12*E12*F12</f>
        <v>10455</v>
      </c>
      <c r="H12" s="4" t="n">
        <f aca="false">D12*E12+G12</f>
        <v>62730</v>
      </c>
    </row>
    <row r="13" customFormat="false" ht="12.8" hidden="false" customHeight="false" outlineLevel="0" collapsed="false">
      <c r="A13" s="1" t="s">
        <v>35</v>
      </c>
      <c r="B13" s="1" t="s">
        <v>36</v>
      </c>
      <c r="C13" s="1" t="s">
        <v>19</v>
      </c>
      <c r="D13" s="4" t="n">
        <v>25.25</v>
      </c>
      <c r="E13" s="1" t="n">
        <v>1650</v>
      </c>
      <c r="F13" s="1" t="n">
        <v>0.2</v>
      </c>
      <c r="G13" s="4" t="n">
        <f aca="false">D13*E13*F13</f>
        <v>8332.5</v>
      </c>
      <c r="H13" s="4" t="n">
        <f aca="false">D13*E13+G13</f>
        <v>49995</v>
      </c>
    </row>
    <row r="14" customFormat="false" ht="12.8" hidden="false" customHeight="false" outlineLevel="0" collapsed="false">
      <c r="A14" s="1" t="s">
        <v>37</v>
      </c>
      <c r="B14" s="1" t="s">
        <v>38</v>
      </c>
      <c r="C14" s="1" t="s">
        <v>22</v>
      </c>
      <c r="D14" s="4" t="n">
        <v>40.25</v>
      </c>
      <c r="E14" s="1" t="n">
        <v>970</v>
      </c>
      <c r="F14" s="1" t="n">
        <v>0.3</v>
      </c>
      <c r="G14" s="4" t="n">
        <f aca="false">D14*E14*F14</f>
        <v>11712.75</v>
      </c>
      <c r="H14" s="4" t="n">
        <f aca="false">D14*E14+G14</f>
        <v>50755.25</v>
      </c>
    </row>
    <row r="15" customFormat="false" ht="12.8" hidden="false" customHeight="false" outlineLevel="0" collapsed="false">
      <c r="A15" s="1" t="s">
        <v>39</v>
      </c>
      <c r="B15" s="1" t="s">
        <v>40</v>
      </c>
      <c r="C15" s="1" t="s">
        <v>19</v>
      </c>
      <c r="D15" s="4" t="n">
        <v>28.5</v>
      </c>
      <c r="E15" s="1" t="n">
        <v>1920</v>
      </c>
      <c r="F15" s="1" t="n">
        <v>0.2</v>
      </c>
      <c r="G15" s="4" t="n">
        <f aca="false">D15*E15*F15</f>
        <v>10944</v>
      </c>
      <c r="H15" s="4" t="n">
        <f aca="false">D15*E15+G15</f>
        <v>65664</v>
      </c>
    </row>
    <row r="16" customFormat="false" ht="12.8" hidden="false" customHeight="false" outlineLevel="0" collapsed="false">
      <c r="A16" s="7"/>
      <c r="B16" s="7"/>
      <c r="C16" s="8" t="s">
        <v>41</v>
      </c>
      <c r="D16" s="9"/>
      <c r="E16" s="8" t="n">
        <f aca="false">SUM(E6:E15)</f>
        <v>17490</v>
      </c>
      <c r="F16" s="8"/>
      <c r="G16" s="9" t="n">
        <f aca="false">SUM(G6:G15)</f>
        <v>152657.25</v>
      </c>
      <c r="H16" s="9" t="n">
        <f aca="false">SUM(H6:H15)</f>
        <v>788182.25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2026-02-28T10:00:17Z</dcterms:created>
  <dc:creator/>
  <dc:description/>
  <dc:language>en-CA</dc:language>
  <cp:lastModifiedBy/>
  <dcterms:modified xsi:type="dcterms:W3CDTF">2026-03-07T15:39:35Z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